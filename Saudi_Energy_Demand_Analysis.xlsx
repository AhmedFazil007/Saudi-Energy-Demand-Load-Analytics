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f4287ed30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fe24e35b9f7f4b91"/>
    <x:sheet xmlns:r="http://schemas.openxmlformats.org/officeDocument/2006/relationships" name="Annual" sheetId="2" r:id="Rd9968ad289bf4b9b"/>
    <x:sheet xmlns:r="http://schemas.openxmlformats.org/officeDocument/2006/relationships" name="Cities" sheetId="3" r:id="R676e88adcbae4404"/>
    <x:sheet xmlns:r="http://schemas.openxmlformats.org/officeDocument/2006/relationships" name="Sectors" sheetId="4" r:id="R30fefaee89a24a32"/>
    <x:sheet xmlns:r="http://schemas.openxmlformats.org/officeDocument/2006/relationships" name="Monthly" sheetId="5" r:id="R8ae0d5668e39403c"/>
    <x:sheet xmlns:r="http://schemas.openxmlformats.org/officeDocument/2006/relationships" name="Regions" sheetId="6" r:id="R304abf7aaae84ae8"/>
    <x:sheet xmlns:r="http://schemas.openxmlformats.org/officeDocument/2006/relationships" name="Formula Checks" sheetId="7" r:id="R5dd3a9c45dfc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%"/>
    <x:numFmt numFmtId="202" formatCode="#,##0"/>
    <x:numFmt numFmtId="203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64A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213B"/>
      </x:patternFill>
    </x:fill>
    <x:fill>
      <x:patternFill patternType="solid">
        <x:fgColor rgb="FF264A7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36d1174dc4a87" /><Relationship Type="http://schemas.openxmlformats.org/officeDocument/2006/relationships/theme" Target="/xl/theme/theme1.xml" Id="R36f719503b864e1e" /><Relationship Type="http://schemas.openxmlformats.org/officeDocument/2006/relationships/sharedStrings" Target="/xl/sharedStrings.xml" Id="Raff0c67adc604a55" /><Relationship Type="http://schemas.openxmlformats.org/officeDocument/2006/relationships/worksheet" Target="/xl/worksheets/sheet1.xml" Id="Rfe24e35b9f7f4b91" /><Relationship Type="http://schemas.openxmlformats.org/officeDocument/2006/relationships/worksheet" Target="/xl/worksheets/sheet2.xml" Id="Rd9968ad289bf4b9b" /><Relationship Type="http://schemas.openxmlformats.org/officeDocument/2006/relationships/worksheet" Target="/xl/worksheets/sheet3.xml" Id="R676e88adcbae4404" /><Relationship Type="http://schemas.openxmlformats.org/officeDocument/2006/relationships/worksheet" Target="/xl/worksheets/sheet4.xml" Id="R30fefaee89a24a32" /><Relationship Type="http://schemas.openxmlformats.org/officeDocument/2006/relationships/worksheet" Target="/xl/worksheets/sheet5.xml" Id="R8ae0d5668e39403c" /><Relationship Type="http://schemas.openxmlformats.org/officeDocument/2006/relationships/worksheet" Target="/xl/worksheets/sheet6.xml" Id="R304abf7aaae84ae8" /><Relationship Type="http://schemas.openxmlformats.org/officeDocument/2006/relationships/worksheet" Target="/xl/worksheets/sheet7.xml" Id="R5dd3a9c45dfc4e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cb448d52784b3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9f6250c0c7f4ae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23137f2604b487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0dbf8d593a54f1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1d1c3968f38749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Consumption by Annual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'Annual'!$A$4:$A$7</c:f>
              <c:strCache>
                <c:ptCount val="0"/>
              </c:strCache>
            </c:strRef>
          </c:cat>
          <c:val>
            <c:numRef>
              <c:f>'Annual'!$B$4:$B$7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Consumption (MWh)</c:v>
          </c:tx>
          <c:cat>
            <c:strRef>
              <c:f>'Annual'!$A$4:$A$7</c:f>
              <c:strCache>
                <c:ptCount val="0"/>
              </c:strCache>
            </c:strRef>
          </c:cat>
          <c:val>
            <c:numRef>
              <c:f>'Annual'!$C$4:$C$7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Consumption by Cities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'Cities'!$A$4:$A$13</c:f>
              <c:strCache>
                <c:ptCount val="0"/>
              </c:strCache>
            </c:strRef>
          </c:cat>
          <c:val>
            <c:numRef>
              <c:f>'Cities'!$B$4:$B$13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Consumption (MWh)</c:v>
          </c:tx>
          <c:cat>
            <c:strRef>
              <c:f>'Cities'!$A$4:$A$13</c:f>
              <c:strCache>
                <c:ptCount val="0"/>
              </c:strCache>
            </c:strRef>
          </c:cat>
          <c:val>
            <c:numRef>
              <c:f>'Cities'!$C$4:$C$13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Consumption by Sectors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'Sectors'!$A$4:$A$7</c:f>
              <c:strCache>
                <c:ptCount val="0"/>
              </c:strCache>
            </c:strRef>
          </c:cat>
          <c:val>
            <c:numRef>
              <c:f>'Sectors'!$B$4:$B$7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Consumption (MWh)</c:v>
          </c:tx>
          <c:cat>
            <c:strRef>
              <c:f>'Sectors'!$A$4:$A$7</c:f>
              <c:strCache>
                <c:ptCount val="0"/>
              </c:strCache>
            </c:strRef>
          </c:cat>
          <c:val>
            <c:numRef>
              <c:f>'Sectors'!$C$4:$C$7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Consumption by Monthly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'Monthly'!$A$4:$A$51</c:f>
              <c:strCache>
                <c:ptCount val="0"/>
              </c:strCache>
            </c:strRef>
          </c:cat>
          <c:val>
            <c:numRef>
              <c:f>'Monthly'!$B$4:$B$51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Consumption (MWh)</c:v>
          </c:tx>
          <c:cat>
            <c:strRef>
              <c:f>'Monthly'!$A$4:$A$51</c:f>
              <c:strCache>
                <c:ptCount val="0"/>
              </c:strCache>
            </c:strRef>
          </c:cat>
          <c:val>
            <c:numRef>
              <c:f>'Monthly'!$C$4:$C$51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Consumption by Regions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'Regions'!$A$4:$A$9</c:f>
              <c:strCache>
                <c:ptCount val="0"/>
              </c:strCache>
            </c:strRef>
          </c:cat>
          <c:val>
            <c:numRef>
              <c:f>'Regions'!$B$4:$B$9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Consumption (MWh)</c:v>
          </c:tx>
          <c:cat>
            <c:strRef>
              <c:f>'Regions'!$A$4:$A$9</c:f>
              <c:strCache>
                <c:ptCount val="0"/>
              </c:strCache>
            </c:strRef>
          </c:cat>
          <c:val>
            <c:numRef>
              <c:f>'Regions'!$C$4:$C$9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cb448d52784b3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f6250c0c7f4ae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3137f2604b487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dbf8d593a54f1a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1c3968f38749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7898a9c92b946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e0336bb0f9649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7b4375326c4242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3f67e5e110247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67c68b58230d4c77" /></Relationships>
</file>

<file path=xl/worksheets/sheet1.xml><?xml version="1.0" encoding="utf-8"?>
<x:worksheet xmlns:x="http://schemas.openxmlformats.org/spreadsheetml/2006/main">
  <x:sheetFormatPr defaultRowHeight="15"/>
  <x:cols>
    <x:col min="1" max="1" width="100" hidden="0" customWidth="1"/>
    <x:col min="2" max="2" width="28" hidden="0" customWidth="1"/>
  </x:cols>
  <x:sheetData>
    <x:row r="1" ht="40" customHeight="1">
      <x:c r="A1" s="3" t="str">
        <x:v>SAUDI ENERGY DEMAND | EXECUTIVE ANALYTICS</x:v>
      </x:c>
      <x:c r="B1" s="3"/>
      <x:c r="C1" s="3"/>
      <x:c r="D1" s="3"/>
      <x:c r="E1" s="3"/>
      <x:c r="F1" s="3"/>
      <x:c r="G1" s="3"/>
      <x:c r="H1" s="3"/>
    </x:row>
    <x:row r="3">
      <x:c r="A3" s="7" t="str">
        <x:v>KPI</x:v>
      </x:c>
      <x:c r="B3" s="7" t="str">
        <x:v>Value</x:v>
      </x:c>
    </x:row>
    <x:row r="4">
      <x:c r="A4" t="str">
        <x:v>Records</x:v>
      </x:c>
      <x:c r="B4" s="10" t="n">
        <x:v>58440</x:v>
      </x:c>
    </x:row>
    <x:row r="5">
      <x:c r="A5" t="str">
        <x:v>Total estimated consumption (MWh)</x:v>
      </x:c>
      <x:c r="B5" s="10" t="n">
        <x:v>23558590</x:v>
      </x:c>
    </x:row>
    <x:row r="6">
      <x:c r="A6" t="str">
        <x:v>Maximum individual-record peak load (MW)</x:v>
      </x:c>
      <x:c r="B6" s="10" t="n">
        <x:v>2059</x:v>
      </x:c>
    </x:row>
    <x:row r="7">
      <x:c r="A7" t="str">
        <x:v>Average temperature (°C)</x:v>
      </x:c>
      <x:c r="B7" s="10" t="n">
        <x:v>24.98</x:v>
      </x:c>
    </x:row>
    <x:row r="8">
      <x:c r="A8" t="str">
        <x:v>Mean renewable share assumption</x:v>
      </x:c>
      <x:c r="B8" s="12" t="n">
        <x:v>0.4846</x:v>
      </x:c>
    </x:row>
    <x:row r="9">
      <x:c r="A9" t="str">
        <x:v>Date range</x:v>
      </x:c>
      <x:c r="B9" t="str">
        <x:v>2022–2025</x:v>
      </x:c>
    </x:row>
    <x:row r="11">
      <x:c r="A11" s="14" t="str">
        <x:v>Interpretation notes</x:v>
      </x:c>
    </x:row>
    <x:row r="12">
      <x:c r="A12" t="str">
        <x:v>Consumption is additive across records; peak-load MW is not additive across cities or sectors.</x:v>
      </x:c>
    </x:row>
    <x:row r="13">
      <x:c r="A13" t="str">
        <x:v>Renewable share is a synthetic assumption, not measured generation.</x:v>
      </x:c>
    </x:row>
    <x:row r="14">
      <x:c r="A14" t="str">
        <x:v>Temperature is a daily contextual variable, not a causal proof of demand changes.</x:v>
      </x:c>
    </x:row>
    <x:row r="15">
      <x:c r="A15" t="str">
        <x:v>This is a fictional dataset for portfolio demonstration, not Saudi national statistics.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6" hidden="0" customWidth="1"/>
    <x:col min="6" max="6" width="26" hidden="0" customWidth="1"/>
  </x:cols>
  <x:sheetData>
    <x:row r="1" ht="34" customHeight="1">
      <x:c r="A1" s="3" t="str">
        <x:v>ESTIMATED ENERGY DEMAND | ANNUAL</x:v>
      </x:c>
      <x:c r="B1" s="3"/>
      <x:c r="C1" s="3"/>
      <x:c r="D1" s="3"/>
      <x:c r="E1" s="3"/>
      <x:c r="F1" s="3"/>
    </x:row>
    <x:row r="3" ht="29" customHeight="1">
      <x:c r="A3" s="7" t="str">
        <x:v>Dimension</x:v>
      </x:c>
      <x:c r="B3" s="7" t="str">
        <x:v>Records</x:v>
      </x:c>
      <x:c r="C3" s="7" t="str">
        <x:v>Consumption (MWh)</x:v>
      </x:c>
      <x:c r="D3" s="7" t="str">
        <x:v>Max record peak (MW)</x:v>
      </x:c>
      <x:c r="E3" s="7" t="str">
        <x:v>Avg temp (°C)</x:v>
      </x:c>
      <x:c r="F3" s="7" t="str">
        <x:v>Avg renewable assumption</x:v>
      </x:c>
    </x:row>
    <x:row r="4">
      <x:c r="A4" t="str">
        <x:v>2022</x:v>
      </x:c>
      <x:c r="B4" s="16" t="n">
        <x:v>14600</x:v>
      </x:c>
      <x:c r="C4" s="16" t="n">
        <x:v>5889380</x:v>
      </x:c>
      <x:c r="D4" s="16" t="n">
        <x:v>1943</x:v>
      </x:c>
      <x:c r="E4" s="18" t="n">
        <x:v>24.99</x:v>
      </x:c>
      <x:c r="F4" s="12" t="n">
        <x:v>0.4843</x:v>
      </x:c>
    </x:row>
    <x:row r="5">
      <x:c r="A5" t="str">
        <x:v>2023</x:v>
      </x:c>
      <x:c r="B5" s="16" t="n">
        <x:v>14600</x:v>
      </x:c>
      <x:c r="C5" s="16" t="n">
        <x:v>5883123</x:v>
      </x:c>
      <x:c r="D5" s="16" t="n">
        <x:v>1977</x:v>
      </x:c>
      <x:c r="E5" s="18" t="n">
        <x:v>25</x:v>
      </x:c>
      <x:c r="F5" s="12" t="n">
        <x:v>0.4852</x:v>
      </x:c>
    </x:row>
    <x:row r="6">
      <x:c r="A6" t="str">
        <x:v>2024</x:v>
      </x:c>
      <x:c r="B6" s="16" t="n">
        <x:v>14640</x:v>
      </x:c>
      <x:c r="C6" s="16" t="n">
        <x:v>5901299</x:v>
      </x:c>
      <x:c r="D6" s="16" t="n">
        <x:v>2025</x:v>
      </x:c>
      <x:c r="E6" s="18" t="n">
        <x:v>24.99</x:v>
      </x:c>
      <x:c r="F6" s="12" t="n">
        <x:v>0.484</x:v>
      </x:c>
    </x:row>
    <x:row r="7">
      <x:c r="A7" t="str">
        <x:v>2025</x:v>
      </x:c>
      <x:c r="B7" s="16" t="n">
        <x:v>14600</x:v>
      </x:c>
      <x:c r="C7" s="16" t="n">
        <x:v>5884788</x:v>
      </x:c>
      <x:c r="D7" s="16" t="n">
        <x:v>2059</x:v>
      </x:c>
      <x:c r="E7" s="18" t="n">
        <x:v>24.94</x:v>
      </x:c>
      <x:c r="F7" s="12" t="n">
        <x:v>0.485</x:v>
      </x:c>
    </x:row>
  </x:sheetData>
  <x:mergeCells>
    <x:mergeCell ref="A1:F1"/>
  </x:mergeCells>
  <x:conditionalFormatting sqref="C4:C7">
    <x:cfRule type="dataBar" priority="1">
      <x:dataBar>
        <x:cfvo type="min"/>
        <x:cfvo type="max"/>
        <x:color rgb="FF168D9C"/>
      </x:dataBar>
      <x:extLst>
        <x:ext xmlns:x14="http://schemas.microsoft.com/office/spreadsheetml/2009/9/main" uri="{B025F937-C7B1-47D3-B67F-A62EFF666E3E}">
          <x14:id>{80A35A27-CB9B-C539-F343-3B0C60CA7DB7}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27898a9c92b9464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0A35A27-CB9B-C539-F343-3B0C60CA7DB7}">
            <x14:dataBar gradient="1">
              <x14:cfvo type="min"/>
              <x14:cfvo type="max"/>
              <x14:fillColor rgb="FF168D9C"/>
            </x14:dataBar>
          </x14:cfRule>
          <xm:sqref>C4:C7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6" hidden="0" customWidth="1"/>
    <x:col min="6" max="6" width="26" hidden="0" customWidth="1"/>
  </x:cols>
  <x:sheetData>
    <x:row r="1" ht="34" customHeight="1">
      <x:c r="A1" s="3" t="str">
        <x:v>ESTIMATED ENERGY DEMAND | CITIES</x:v>
      </x:c>
      <x:c r="B1" s="3"/>
      <x:c r="C1" s="3"/>
      <x:c r="D1" s="3"/>
      <x:c r="E1" s="3"/>
      <x:c r="F1" s="3"/>
    </x:row>
    <x:row r="3" ht="29" customHeight="1">
      <x:c r="A3" s="7" t="str">
        <x:v>Dimension</x:v>
      </x:c>
      <x:c r="B3" s="7" t="str">
        <x:v>Records</x:v>
      </x:c>
      <x:c r="C3" s="7" t="str">
        <x:v>Consumption (MWh)</x:v>
      </x:c>
      <x:c r="D3" s="7" t="str">
        <x:v>Max record peak (MW)</x:v>
      </x:c>
      <x:c r="E3" s="7" t="str">
        <x:v>Avg temp (°C)</x:v>
      </x:c>
      <x:c r="F3" s="7" t="str">
        <x:v>Avg renewable assumption</x:v>
      </x:c>
    </x:row>
    <x:row r="4">
      <x:c r="A4" t="str">
        <x:v>Riyadh</x:v>
      </x:c>
      <x:c r="B4" s="16" t="n">
        <x:v>5844</x:v>
      </x:c>
      <x:c r="C4" s="16" t="n">
        <x:v>3943155</x:v>
      </x:c>
      <x:c r="D4" s="16" t="n">
        <x:v>2059</x:v>
      </x:c>
      <x:c r="E4" s="18" t="n">
        <x:v>24.95</x:v>
      </x:c>
      <x:c r="F4" s="12" t="n">
        <x:v>0.4846</x:v>
      </x:c>
    </x:row>
    <x:row r="5">
      <x:c r="A5" t="str">
        <x:v>Khobar</x:v>
      </x:c>
      <x:c r="B5" s="16" t="n">
        <x:v>5844</x:v>
      </x:c>
      <x:c r="C5" s="16" t="n">
        <x:v>2997842</x:v>
      </x:c>
      <x:c r="D5" s="16" t="n">
        <x:v>1591</x:v>
      </x:c>
      <x:c r="E5" s="18" t="n">
        <x:v>24.96</x:v>
      </x:c>
      <x:c r="F5" s="12" t="n">
        <x:v>0.4848</x:v>
      </x:c>
    </x:row>
    <x:row r="6">
      <x:c r="A6" t="str">
        <x:v>Jeddah</x:v>
      </x:c>
      <x:c r="B6" s="16" t="n">
        <x:v>5844</x:v>
      </x:c>
      <x:c r="C6" s="16" t="n">
        <x:v>2995962</x:v>
      </x:c>
      <x:c r="D6" s="16" t="n">
        <x:v>1504</x:v>
      </x:c>
      <x:c r="E6" s="18" t="n">
        <x:v>24.96</x:v>
      </x:c>
      <x:c r="F6" s="12" t="n">
        <x:v>0.4865</x:v>
      </x:c>
    </x:row>
    <x:row r="7">
      <x:c r="A7" t="str">
        <x:v>Dammam</x:v>
      </x:c>
      <x:c r="B7" s="16" t="n">
        <x:v>5844</x:v>
      </x:c>
      <x:c r="C7" s="16" t="n">
        <x:v>2991602</x:v>
      </x:c>
      <x:c r="D7" s="16" t="n">
        <x:v>1472</x:v>
      </x:c>
      <x:c r="E7" s="18" t="n">
        <x:v>24.93</x:v>
      </x:c>
      <x:c r="F7" s="12" t="n">
        <x:v>0.4825</x:v>
      </x:c>
    </x:row>
    <x:row r="8">
      <x:c r="A8" t="str">
        <x:v>Abha</x:v>
      </x:c>
      <x:c r="B8" s="16" t="n">
        <x:v>5844</x:v>
      </x:c>
      <x:c r="C8" s="16" t="n">
        <x:v>1775497</x:v>
      </x:c>
      <x:c r="D8" s="16" t="n">
        <x:v>893</x:v>
      </x:c>
      <x:c r="E8" s="18" t="n">
        <x:v>25.04</x:v>
      </x:c>
      <x:c r="F8" s="12" t="n">
        <x:v>0.4836</x:v>
      </x:c>
    </x:row>
    <x:row r="9">
      <x:c r="A9" t="str">
        <x:v>Madinah</x:v>
      </x:c>
      <x:c r="B9" s="16" t="n">
        <x:v>5844</x:v>
      </x:c>
      <x:c r="C9" s="16" t="n">
        <x:v>1773026</x:v>
      </x:c>
      <x:c r="D9" s="16" t="n">
        <x:v>910</x:v>
      </x:c>
      <x:c r="E9" s="18" t="n">
        <x:v>25.03</x:v>
      </x:c>
      <x:c r="F9" s="12" t="n">
        <x:v>0.4855</x:v>
      </x:c>
    </x:row>
    <x:row r="10">
      <x:c r="A10" t="str">
        <x:v>Al Ahsa</x:v>
      </x:c>
      <x:c r="B10" s="16" t="n">
        <x:v>5844</x:v>
      </x:c>
      <x:c r="C10" s="16" t="n">
        <x:v>1772130</x:v>
      </x:c>
      <x:c r="D10" s="16" t="n">
        <x:v>968</x:v>
      </x:c>
      <x:c r="E10" s="18" t="n">
        <x:v>24.97</x:v>
      </x:c>
      <x:c r="F10" s="12" t="n">
        <x:v>0.4853</x:v>
      </x:c>
    </x:row>
    <x:row r="11">
      <x:c r="A11" t="str">
        <x:v>Taif</x:v>
      </x:c>
      <x:c r="B11" s="16" t="n">
        <x:v>5844</x:v>
      </x:c>
      <x:c r="C11" s="16" t="n">
        <x:v>1770585</x:v>
      </x:c>
      <x:c r="D11" s="16" t="n">
        <x:v>935</x:v>
      </x:c>
      <x:c r="E11" s="18" t="n">
        <x:v>25.01</x:v>
      </x:c>
      <x:c r="F11" s="12" t="n">
        <x:v>0.4855</x:v>
      </x:c>
    </x:row>
    <x:row r="12">
      <x:c r="A12" t="str">
        <x:v>Makkah</x:v>
      </x:c>
      <x:c r="B12" s="16" t="n">
        <x:v>5844</x:v>
      </x:c>
      <x:c r="C12" s="16" t="n">
        <x:v>1769440</x:v>
      </x:c>
      <x:c r="D12" s="16" t="n">
        <x:v>876</x:v>
      </x:c>
      <x:c r="E12" s="18" t="n">
        <x:v>24.96</x:v>
      </x:c>
      <x:c r="F12" s="12" t="n">
        <x:v>0.4831</x:v>
      </x:c>
    </x:row>
    <x:row r="13">
      <x:c r="A13" t="str">
        <x:v>Tabuk</x:v>
      </x:c>
      <x:c r="B13" s="16" t="n">
        <x:v>5844</x:v>
      </x:c>
      <x:c r="C13" s="16" t="n">
        <x:v>1769351</x:v>
      </x:c>
      <x:c r="D13" s="16" t="n">
        <x:v>869</x:v>
      </x:c>
      <x:c r="E13" s="18" t="n">
        <x:v>25</x:v>
      </x:c>
      <x:c r="F13" s="12" t="n">
        <x:v>0.4849</x:v>
      </x:c>
    </x:row>
  </x:sheetData>
  <x:mergeCells>
    <x:mergeCell ref="A1:F1"/>
  </x:mergeCells>
  <x:conditionalFormatting sqref="C4:C13">
    <x:cfRule type="dataBar" priority="1">
      <x:dataBar>
        <x:cfvo type="min"/>
        <x:cfvo type="max"/>
        <x:color rgb="FF168D9C"/>
      </x:dataBar>
      <x:extLst>
        <x:ext xmlns:x14="http://schemas.microsoft.com/office/spreadsheetml/2009/9/main" uri="{B025F937-C7B1-47D3-B67F-A62EFF666E3E}">
          <x14:id>{338D111E-F5C2-229D-6310-FEADA5B3AAB6}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e0336bb0f96495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38D111E-F5C2-229D-6310-FEADA5B3AAB6}">
            <x14:dataBar gradient="1">
              <x14:cfvo type="min"/>
              <x14:cfvo type="max"/>
              <x14:fillColor rgb="FF168D9C"/>
            </x14:dataBar>
          </x14:cfRule>
          <xm:sqref>C4:C13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6" hidden="0" customWidth="1"/>
    <x:col min="6" max="6" width="26" hidden="0" customWidth="1"/>
  </x:cols>
  <x:sheetData>
    <x:row r="1" ht="34" customHeight="1">
      <x:c r="A1" s="3" t="str">
        <x:v>ESTIMATED ENERGY DEMAND | SECTORS</x:v>
      </x:c>
      <x:c r="B1" s="3"/>
      <x:c r="C1" s="3"/>
      <x:c r="D1" s="3"/>
      <x:c r="E1" s="3"/>
      <x:c r="F1" s="3"/>
    </x:row>
    <x:row r="3" ht="29" customHeight="1">
      <x:c r="A3" s="7" t="str">
        <x:v>Dimension</x:v>
      </x:c>
      <x:c r="B3" s="7" t="str">
        <x:v>Records</x:v>
      </x:c>
      <x:c r="C3" s="7" t="str">
        <x:v>Consumption (MWh)</x:v>
      </x:c>
      <x:c r="D3" s="7" t="str">
        <x:v>Max record peak (MW)</x:v>
      </x:c>
      <x:c r="E3" s="7" t="str">
        <x:v>Avg temp (°C)</x:v>
      </x:c>
      <x:c r="F3" s="7" t="str">
        <x:v>Avg renewable assumption</x:v>
      </x:c>
    </x:row>
    <x:row r="4">
      <x:c r="A4" t="str">
        <x:v>Industrial</x:v>
      </x:c>
      <x:c r="B4" s="16" t="n">
        <x:v>14610</x:v>
      </x:c>
      <x:c r="C4" s="16" t="n">
        <x:v>8936834</x:v>
      </x:c>
      <x:c r="D4" s="16" t="n">
        <x:v>1769</x:v>
      </x:c>
      <x:c r="E4" s="18" t="n">
        <x:v>24.99</x:v>
      </x:c>
      <x:c r="F4" s="12" t="n">
        <x:v>0.4855</x:v>
      </x:c>
    </x:row>
    <x:row r="5">
      <x:c r="A5" t="str">
        <x:v>Residential</x:v>
      </x:c>
      <x:c r="B5" s="16" t="n">
        <x:v>14610</x:v>
      </x:c>
      <x:c r="C5" s="16" t="n">
        <x:v>7861691</x:v>
      </x:c>
      <x:c r="D5" s="16" t="n">
        <x:v>2059</x:v>
      </x:c>
      <x:c r="E5" s="18" t="n">
        <x:v>24.98</x:v>
      </x:c>
      <x:c r="F5" s="12" t="n">
        <x:v>0.4851</x:v>
      </x:c>
    </x:row>
    <x:row r="6">
      <x:c r="A6" t="str">
        <x:v>Commercial</x:v>
      </x:c>
      <x:c r="B6" s="16" t="n">
        <x:v>14610</x:v>
      </x:c>
      <x:c r="C6" s="16" t="n">
        <x:v>4784653</x:v>
      </x:c>
      <x:c r="D6" s="16" t="n">
        <x:v>1467</x:v>
      </x:c>
      <x:c r="E6" s="18" t="n">
        <x:v>24.99</x:v>
      </x:c>
      <x:c r="F6" s="12" t="n">
        <x:v>0.4843</x:v>
      </x:c>
    </x:row>
    <x:row r="7">
      <x:c r="A7" t="str">
        <x:v>Government</x:v>
      </x:c>
      <x:c r="B7" s="16" t="n">
        <x:v>14610</x:v>
      </x:c>
      <x:c r="C7" s="16" t="n">
        <x:v>1975412</x:v>
      </x:c>
      <x:c r="D7" s="16" t="n">
        <x:v>514</x:v>
      </x:c>
      <x:c r="E7" s="18" t="n">
        <x:v>24.97</x:v>
      </x:c>
      <x:c r="F7" s="12" t="n">
        <x:v>0.4836</x:v>
      </x:c>
    </x:row>
  </x:sheetData>
  <x:mergeCells>
    <x:mergeCell ref="A1:F1"/>
  </x:mergeCells>
  <x:conditionalFormatting sqref="C4:C7">
    <x:cfRule type="dataBar" priority="1">
      <x:dataBar>
        <x:cfvo type="min"/>
        <x:cfvo type="max"/>
        <x:color rgb="FF168D9C"/>
      </x:dataBar>
      <x:extLst>
        <x:ext xmlns:x14="http://schemas.microsoft.com/office/spreadsheetml/2009/9/main" uri="{B025F937-C7B1-47D3-B67F-A62EFF666E3E}">
          <x14:id>{FDEC10DE-BDFB-F2A6-2B9E-15A8FCE61953}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b4375326c4242a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DEC10DE-BDFB-F2A6-2B9E-15A8FCE61953}">
            <x14:dataBar gradient="1">
              <x14:cfvo type="min"/>
              <x14:cfvo type="max"/>
              <x14:fillColor rgb="FF168D9C"/>
            </x14:dataBar>
          </x14:cfRule>
          <xm:sqref>C4:C7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6" hidden="0" customWidth="1"/>
    <x:col min="6" max="6" width="26" hidden="0" customWidth="1"/>
  </x:cols>
  <x:sheetData>
    <x:row r="1" ht="34" customHeight="1">
      <x:c r="A1" s="3" t="str">
        <x:v>ESTIMATED ENERGY DEMAND | MONTHLY</x:v>
      </x:c>
      <x:c r="B1" s="3"/>
      <x:c r="C1" s="3"/>
      <x:c r="D1" s="3"/>
      <x:c r="E1" s="3"/>
      <x:c r="F1" s="3"/>
    </x:row>
    <x:row r="3" ht="29" customHeight="1">
      <x:c r="A3" s="7" t="str">
        <x:v>Dimension</x:v>
      </x:c>
      <x:c r="B3" s="7" t="str">
        <x:v>Records</x:v>
      </x:c>
      <x:c r="C3" s="7" t="str">
        <x:v>Consumption (MWh)</x:v>
      </x:c>
      <x:c r="D3" s="7" t="str">
        <x:v>Max record peak (MW)</x:v>
      </x:c>
      <x:c r="E3" s="7" t="str">
        <x:v>Avg temp (°C)</x:v>
      </x:c>
      <x:c r="F3" s="7" t="str">
        <x:v>Avg renewable assumption</x:v>
      </x:c>
    </x:row>
    <x:row r="4">
      <x:c r="A4" t="str">
        <x:v>2022-01</x:v>
      </x:c>
      <x:c r="B4" s="16" t="n">
        <x:v>1240</x:v>
      </x:c>
      <x:c r="C4" s="16" t="n">
        <x:v>434228</x:v>
      </x:c>
      <x:c r="D4" s="16" t="n">
        <x:v>1396</x:v>
      </x:c>
      <x:c r="E4" s="18" t="n">
        <x:v>14.17</x:v>
      </x:c>
      <x:c r="F4" s="12" t="n">
        <x:v>0.4851</x:v>
      </x:c>
    </x:row>
    <x:row r="5">
      <x:c r="A5" t="str">
        <x:v>2022-02</x:v>
      </x:c>
      <x:c r="B5" s="16" t="n">
        <x:v>1120</x:v>
      </x:c>
      <x:c r="C5" s="16" t="n">
        <x:v>393449</x:v>
      </x:c>
      <x:c r="D5" s="16" t="n">
        <x:v>1401</x:v>
      </x:c>
      <x:c r="E5" s="18" t="n">
        <x:v>15.15</x:v>
      </x:c>
      <x:c r="F5" s="12" t="n">
        <x:v>0.4858</x:v>
      </x:c>
    </x:row>
    <x:row r="6">
      <x:c r="A6" t="str">
        <x:v>2022-03</x:v>
      </x:c>
      <x:c r="B6" s="16" t="n">
        <x:v>1240</x:v>
      </x:c>
      <x:c r="C6" s="16" t="n">
        <x:v>437561</x:v>
      </x:c>
      <x:c r="D6" s="16" t="n">
        <x:v>1464</x:v>
      </x:c>
      <x:c r="E6" s="18" t="n">
        <x:v>18.84</x:v>
      </x:c>
      <x:c r="F6" s="12" t="n">
        <x:v>0.4859</x:v>
      </x:c>
    </x:row>
    <x:row r="7">
      <x:c r="A7" t="str">
        <x:v>2022-04</x:v>
      </x:c>
      <x:c r="B7" s="16" t="n">
        <x:v>1200</x:v>
      </x:c>
      <x:c r="C7" s="16" t="n">
        <x:v>433519</x:v>
      </x:c>
      <x:c r="D7" s="16" t="n">
        <x:v>1549</x:v>
      </x:c>
      <x:c r="E7" s="18" t="n">
        <x:v>24.17</x:v>
      </x:c>
      <x:c r="F7" s="12" t="n">
        <x:v>0.4818</x:v>
      </x:c>
    </x:row>
    <x:row r="8">
      <x:c r="A8" t="str">
        <x:v>2022-05</x:v>
      </x:c>
      <x:c r="B8" s="16" t="n">
        <x:v>1240</x:v>
      </x:c>
      <x:c r="C8" s="16" t="n">
        <x:v>522248</x:v>
      </x:c>
      <x:c r="D8" s="16" t="n">
        <x:v>1584</x:v>
      </x:c>
      <x:c r="E8" s="18" t="n">
        <x:v>29.71</x:v>
      </x:c>
      <x:c r="F8" s="12" t="n">
        <x:v>0.4883</x:v>
      </x:c>
    </x:row>
    <x:row r="9">
      <x:c r="A9" t="str">
        <x:v>2022-06</x:v>
      </x:c>
      <x:c r="B9" s="16" t="n">
        <x:v>1200</x:v>
      </x:c>
      <x:c r="C9" s="16" t="n">
        <x:v>582727</x:v>
      </x:c>
      <x:c r="D9" s="16" t="n">
        <x:v>1943</x:v>
      </x:c>
      <x:c r="E9" s="18" t="n">
        <x:v>34.05</x:v>
      </x:c>
      <x:c r="F9" s="12" t="n">
        <x:v>0.4858</x:v>
      </x:c>
    </x:row>
    <x:row r="10">
      <x:c r="A10" t="str">
        <x:v>2022-07</x:v>
      </x:c>
      <x:c r="B10" s="16" t="n">
        <x:v>1240</x:v>
      </x:c>
      <x:c r="C10" s="16" t="n">
        <x:v>630181</x:v>
      </x:c>
      <x:c r="D10" s="16" t="n">
        <x:v>1771</x:v>
      </x:c>
      <x:c r="E10" s="18" t="n">
        <x:v>35.85</x:v>
      </x:c>
      <x:c r="F10" s="12" t="n">
        <x:v>0.4816</x:v>
      </x:c>
    </x:row>
    <x:row r="11">
      <x:c r="A11" t="str">
        <x:v>2022-08</x:v>
      </x:c>
      <x:c r="B11" s="16" t="n">
        <x:v>1240</x:v>
      </x:c>
      <x:c r="C11" s="16" t="n">
        <x:v>610794</x:v>
      </x:c>
      <x:c r="D11" s="16" t="n">
        <x:v>1724</x:v>
      </x:c>
      <x:c r="E11" s="18" t="n">
        <x:v>34.74</x:v>
      </x:c>
      <x:c r="F11" s="12" t="n">
        <x:v>0.483</x:v>
      </x:c>
    </x:row>
    <x:row r="12">
      <x:c r="A12" t="str">
        <x:v>2022-09</x:v>
      </x:c>
      <x:c r="B12" s="16" t="n">
        <x:v>1200</x:v>
      </x:c>
      <x:c r="C12" s="16" t="n">
        <x:v>524847</x:v>
      </x:c>
      <x:c r="D12" s="16" t="n">
        <x:v>1630</x:v>
      </x:c>
      <x:c r="E12" s="18" t="n">
        <x:v>30.96</x:v>
      </x:c>
      <x:c r="F12" s="12" t="n">
        <x:v>0.4809</x:v>
      </x:c>
    </x:row>
    <x:row r="13">
      <x:c r="A13" t="str">
        <x:v>2022-10</x:v>
      </x:c>
      <x:c r="B13" s="16" t="n">
        <x:v>1240</x:v>
      </x:c>
      <x:c r="C13" s="16" t="n">
        <x:v>463084</x:v>
      </x:c>
      <x:c r="D13" s="16" t="n">
        <x:v>1524</x:v>
      </x:c>
      <x:c r="E13" s="18" t="n">
        <x:v>25.66</x:v>
      </x:c>
      <x:c r="F13" s="12" t="n">
        <x:v>0.4816</x:v>
      </x:c>
    </x:row>
    <x:row r="14">
      <x:c r="A14" t="str">
        <x:v>2022-11</x:v>
      </x:c>
      <x:c r="B14" s="16" t="n">
        <x:v>1200</x:v>
      </x:c>
      <x:c r="C14" s="16" t="n">
        <x:v>423173</x:v>
      </x:c>
      <x:c r="D14" s="16" t="n">
        <x:v>1441</x:v>
      </x:c>
      <x:c r="E14" s="18" t="n">
        <x:v>20.07</x:v>
      </x:c>
      <x:c r="F14" s="12" t="n">
        <x:v>0.4866</x:v>
      </x:c>
    </x:row>
    <x:row r="15">
      <x:c r="A15" t="str">
        <x:v>2022-12</x:v>
      </x:c>
      <x:c r="B15" s="16" t="n">
        <x:v>1240</x:v>
      </x:c>
      <x:c r="C15" s="16" t="n">
        <x:v>433569</x:v>
      </x:c>
      <x:c r="D15" s="16" t="n">
        <x:v>1410</x:v>
      </x:c>
      <x:c r="E15" s="18" t="n">
        <x:v>15.88</x:v>
      </x:c>
      <x:c r="F15" s="12" t="n">
        <x:v>0.4854</x:v>
      </x:c>
    </x:row>
    <x:row r="16">
      <x:c r="A16" t="str">
        <x:v>2023-01</x:v>
      </x:c>
      <x:c r="B16" s="16" t="n">
        <x:v>1240</x:v>
      </x:c>
      <x:c r="C16" s="16" t="n">
        <x:v>437450</x:v>
      </x:c>
      <x:c r="D16" s="16" t="n">
        <x:v>1539</x:v>
      </x:c>
      <x:c r="E16" s="18" t="n">
        <x:v>14.2</x:v>
      </x:c>
      <x:c r="F16" s="12" t="n">
        <x:v>0.4872</x:v>
      </x:c>
    </x:row>
    <x:row r="17">
      <x:c r="A17" t="str">
        <x:v>2023-02</x:v>
      </x:c>
      <x:c r="B17" s="16" t="n">
        <x:v>1120</x:v>
      </x:c>
      <x:c r="C17" s="16" t="n">
        <x:v>393766</x:v>
      </x:c>
      <x:c r="D17" s="16" t="n">
        <x:v>1416</x:v>
      </x:c>
      <x:c r="E17" s="18" t="n">
        <x:v>15.19</x:v>
      </x:c>
      <x:c r="F17" s="12" t="n">
        <x:v>0.4825</x:v>
      </x:c>
    </x:row>
    <x:row r="18">
      <x:c r="A18" t="str">
        <x:v>2023-03</x:v>
      </x:c>
      <x:c r="B18" s="16" t="n">
        <x:v>1240</x:v>
      </x:c>
      <x:c r="C18" s="16" t="n">
        <x:v>435152</x:v>
      </x:c>
      <x:c r="D18" s="16" t="n">
        <x:v>1620</x:v>
      </x:c>
      <x:c r="E18" s="18" t="n">
        <x:v>18.76</x:v>
      </x:c>
      <x:c r="F18" s="12" t="n">
        <x:v>0.4875</x:v>
      </x:c>
    </x:row>
    <x:row r="19">
      <x:c r="A19" t="str">
        <x:v>2023-04</x:v>
      </x:c>
      <x:c r="B19" s="16" t="n">
        <x:v>1200</x:v>
      </x:c>
      <x:c r="C19" s="16" t="n">
        <x:v>433808</x:v>
      </x:c>
      <x:c r="D19" s="16" t="n">
        <x:v>1459</x:v>
      </x:c>
      <x:c r="E19" s="18" t="n">
        <x:v>24.28</x:v>
      </x:c>
      <x:c r="F19" s="12" t="n">
        <x:v>0.486</x:v>
      </x:c>
    </x:row>
    <x:row r="20">
      <x:c r="A20" t="str">
        <x:v>2023-05</x:v>
      </x:c>
      <x:c r="B20" s="16" t="n">
        <x:v>1240</x:v>
      </x:c>
      <x:c r="C20" s="16" t="n">
        <x:v>521049</x:v>
      </x:c>
      <x:c r="D20" s="16" t="n">
        <x:v>1557</x:v>
      </x:c>
      <x:c r="E20" s="18" t="n">
        <x:v>29.68</x:v>
      </x:c>
      <x:c r="F20" s="12" t="n">
        <x:v>0.4833</x:v>
      </x:c>
    </x:row>
    <x:row r="21">
      <x:c r="A21" t="str">
        <x:v>2023-06</x:v>
      </x:c>
      <x:c r="B21" s="16" t="n">
        <x:v>1200</x:v>
      </x:c>
      <x:c r="C21" s="16" t="n">
        <x:v>578163</x:v>
      </x:c>
      <x:c r="D21" s="16" t="n">
        <x:v>1804</x:v>
      </x:c>
      <x:c r="E21" s="18" t="n">
        <x:v>34.01</x:v>
      </x:c>
      <x:c r="F21" s="12" t="n">
        <x:v>0.481</x:v>
      </x:c>
    </x:row>
    <x:row r="22">
      <x:c r="A22" t="str">
        <x:v>2023-07</x:v>
      </x:c>
      <x:c r="B22" s="16" t="n">
        <x:v>1240</x:v>
      </x:c>
      <x:c r="C22" s="16" t="n">
        <x:v>630080</x:v>
      </x:c>
      <x:c r="D22" s="16" t="n">
        <x:v>1977</x:v>
      </x:c>
      <x:c r="E22" s="18" t="n">
        <x:v>35.83</x:v>
      </x:c>
      <x:c r="F22" s="12" t="n">
        <x:v>0.4857</x:v>
      </x:c>
    </x:row>
    <x:row r="23">
      <x:c r="A23" t="str">
        <x:v>2023-08</x:v>
      </x:c>
      <x:c r="B23" s="16" t="n">
        <x:v>1240</x:v>
      </x:c>
      <x:c r="C23" s="16" t="n">
        <x:v>612668</x:v>
      </x:c>
      <x:c r="D23" s="16" t="n">
        <x:v>1911</x:v>
      </x:c>
      <x:c r="E23" s="18" t="n">
        <x:v>34.68</x:v>
      </x:c>
      <x:c r="F23" s="12" t="n">
        <x:v>0.4863</x:v>
      </x:c>
    </x:row>
    <x:row r="24">
      <x:c r="A24" t="str">
        <x:v>2023-09</x:v>
      </x:c>
      <x:c r="B24" s="16" t="n">
        <x:v>1200</x:v>
      </x:c>
      <x:c r="C24" s="16" t="n">
        <x:v>525350</x:v>
      </x:c>
      <x:c r="D24" s="16" t="n">
        <x:v>1571</x:v>
      </x:c>
      <x:c r="E24" s="18" t="n">
        <x:v>31</x:v>
      </x:c>
      <x:c r="F24" s="12" t="n">
        <x:v>0.4851</x:v>
      </x:c>
    </x:row>
    <x:row r="25">
      <x:c r="A25" t="str">
        <x:v>2023-10</x:v>
      </x:c>
      <x:c r="B25" s="16" t="n">
        <x:v>1240</x:v>
      </x:c>
      <x:c r="C25" s="16" t="n">
        <x:v>458744</x:v>
      </x:c>
      <x:c r="D25" s="16" t="n">
        <x:v>1601</x:v>
      </x:c>
      <x:c r="E25" s="18" t="n">
        <x:v>25.56</x:v>
      </x:c>
      <x:c r="F25" s="12" t="n">
        <x:v>0.4877</x:v>
      </x:c>
    </x:row>
    <x:row r="26">
      <x:c r="A26" t="str">
        <x:v>2023-11</x:v>
      </x:c>
      <x:c r="B26" s="16" t="n">
        <x:v>1200</x:v>
      </x:c>
      <x:c r="C26" s="16" t="n">
        <x:v>421979</x:v>
      </x:c>
      <x:c r="D26" s="16" t="n">
        <x:v>1424</x:v>
      </x:c>
      <x:c r="E26" s="18" t="n">
        <x:v>20.19</x:v>
      </x:c>
      <x:c r="F26" s="12" t="n">
        <x:v>0.4817</x:v>
      </x:c>
    </x:row>
    <x:row r="27">
      <x:c r="A27" t="str">
        <x:v>2023-12</x:v>
      </x:c>
      <x:c r="B27" s="16" t="n">
        <x:v>1240</x:v>
      </x:c>
      <x:c r="C27" s="16" t="n">
        <x:v>434914</x:v>
      </x:c>
      <x:c r="D27" s="16" t="n">
        <x:v>1490</x:v>
      </x:c>
      <x:c r="E27" s="18" t="n">
        <x:v>15.94</x:v>
      </x:c>
      <x:c r="F27" s="12" t="n">
        <x:v>0.4878</x:v>
      </x:c>
    </x:row>
    <x:row r="28">
      <x:c r="A28" t="str">
        <x:v>2024-01</x:v>
      </x:c>
      <x:c r="B28" s="16" t="n">
        <x:v>1240</x:v>
      </x:c>
      <x:c r="C28" s="16" t="n">
        <x:v>436274</x:v>
      </x:c>
      <x:c r="D28" s="16" t="n">
        <x:v>1412</x:v>
      </x:c>
      <x:c r="E28" s="18" t="n">
        <x:v>14.12</x:v>
      </x:c>
      <x:c r="F28" s="12" t="n">
        <x:v>0.4817</x:v>
      </x:c>
    </x:row>
    <x:row r="29">
      <x:c r="A29" t="str">
        <x:v>2024-02</x:v>
      </x:c>
      <x:c r="B29" s="16" t="n">
        <x:v>1160</x:v>
      </x:c>
      <x:c r="C29" s="16" t="n">
        <x:v>408492</x:v>
      </x:c>
      <x:c r="D29" s="16" t="n">
        <x:v>1401</x:v>
      </x:c>
      <x:c r="E29" s="18" t="n">
        <x:v>15.29</x:v>
      </x:c>
      <x:c r="F29" s="12" t="n">
        <x:v>0.4816</x:v>
      </x:c>
    </x:row>
    <x:row r="30">
      <x:c r="A30" t="str">
        <x:v>2024-03</x:v>
      </x:c>
      <x:c r="B30" s="16" t="n">
        <x:v>1240</x:v>
      </x:c>
      <x:c r="C30" s="16" t="n">
        <x:v>436511</x:v>
      </x:c>
      <x:c r="D30" s="16" t="n">
        <x:v>1451</x:v>
      </x:c>
      <x:c r="E30" s="18" t="n">
        <x:v>18.89</x:v>
      </x:c>
      <x:c r="F30" s="12" t="n">
        <x:v>0.4851</x:v>
      </x:c>
    </x:row>
    <x:row r="31">
      <x:c r="A31" t="str">
        <x:v>2024-04</x:v>
      </x:c>
      <x:c r="B31" s="16" t="n">
        <x:v>1200</x:v>
      </x:c>
      <x:c r="C31" s="16" t="n">
        <x:v>434026</x:v>
      </x:c>
      <x:c r="D31" s="16" t="n">
        <x:v>1388</x:v>
      </x:c>
      <x:c r="E31" s="18" t="n">
        <x:v>24.38</x:v>
      </x:c>
      <x:c r="F31" s="12" t="n">
        <x:v>0.4838</x:v>
      </x:c>
    </x:row>
    <x:row r="32">
      <x:c r="A32" t="str">
        <x:v>2024-05</x:v>
      </x:c>
      <x:c r="B32" s="16" t="n">
        <x:v>1240</x:v>
      </x:c>
      <x:c r="C32" s="16" t="n">
        <x:v>525844</x:v>
      </x:c>
      <x:c r="D32" s="16" t="n">
        <x:v>1723</x:v>
      </x:c>
      <x:c r="E32" s="18" t="n">
        <x:v>29.97</x:v>
      </x:c>
      <x:c r="F32" s="12" t="n">
        <x:v>0.4859</x:v>
      </x:c>
    </x:row>
    <x:row r="33">
      <x:c r="A33" t="str">
        <x:v>2024-06</x:v>
      </x:c>
      <x:c r="B33" s="16" t="n">
        <x:v>1200</x:v>
      </x:c>
      <x:c r="C33" s="16" t="n">
        <x:v>575268</x:v>
      </x:c>
      <x:c r="D33" s="16" t="n">
        <x:v>1689</x:v>
      </x:c>
      <x:c r="E33" s="18" t="n">
        <x:v>34.09</x:v>
      </x:c>
      <x:c r="F33" s="12" t="n">
        <x:v>0.4828</x:v>
      </x:c>
    </x:row>
    <x:row r="34">
      <x:c r="A34" t="str">
        <x:v>2024-07</x:v>
      </x:c>
      <x:c r="B34" s="16" t="n">
        <x:v>1240</x:v>
      </x:c>
      <x:c r="C34" s="16" t="n">
        <x:v>634445</x:v>
      </x:c>
      <x:c r="D34" s="16" t="n">
        <x:v>2025</x:v>
      </x:c>
      <x:c r="E34" s="18" t="n">
        <x:v>35.85</x:v>
      </x:c>
      <x:c r="F34" s="12" t="n">
        <x:v>0.4855</x:v>
      </x:c>
    </x:row>
    <x:row r="35">
      <x:c r="A35" t="str">
        <x:v>2024-08</x:v>
      </x:c>
      <x:c r="B35" s="16" t="n">
        <x:v>1240</x:v>
      </x:c>
      <x:c r="C35" s="16" t="n">
        <x:v>609584</x:v>
      </x:c>
      <x:c r="D35" s="16" t="n">
        <x:v>1980</x:v>
      </x:c>
      <x:c r="E35" s="18" t="n">
        <x:v>34.73</x:v>
      </x:c>
      <x:c r="F35" s="12" t="n">
        <x:v>0.4813</x:v>
      </x:c>
    </x:row>
    <x:row r="36">
      <x:c r="A36" t="str">
        <x:v>2024-09</x:v>
      </x:c>
      <x:c r="B36" s="16" t="n">
        <x:v>1200</x:v>
      </x:c>
      <x:c r="C36" s="16" t="n">
        <x:v>526221</x:v>
      </x:c>
      <x:c r="D36" s="16" t="n">
        <x:v>1711</x:v>
      </x:c>
      <x:c r="E36" s="18" t="n">
        <x:v>30.91</x:v>
      </x:c>
      <x:c r="F36" s="12" t="n">
        <x:v>0.4839</x:v>
      </x:c>
    </x:row>
    <x:row r="37">
      <x:c r="A37" t="str">
        <x:v>2024-10</x:v>
      </x:c>
      <x:c r="B37" s="16" t="n">
        <x:v>1240</x:v>
      </x:c>
      <x:c r="C37" s="16" t="n">
        <x:v>460350</x:v>
      </x:c>
      <x:c r="D37" s="16" t="n">
        <x:v>1501</x:v>
      </x:c>
      <x:c r="E37" s="18" t="n">
        <x:v>25.52</x:v>
      </x:c>
      <x:c r="F37" s="12" t="n">
        <x:v>0.4847</x:v>
      </x:c>
    </x:row>
    <x:row r="38">
      <x:c r="A38" t="str">
        <x:v>2024-11</x:v>
      </x:c>
      <x:c r="B38" s="16" t="n">
        <x:v>1200</x:v>
      </x:c>
      <x:c r="C38" s="16" t="n">
        <x:v>419598</x:v>
      </x:c>
      <x:c r="D38" s="16" t="n">
        <x:v>1574</x:v>
      </x:c>
      <x:c r="E38" s="18" t="n">
        <x:v>19.96</x:v>
      </x:c>
      <x:c r="F38" s="12" t="n">
        <x:v>0.488</x:v>
      </x:c>
    </x:row>
    <x:row r="39">
      <x:c r="A39" t="str">
        <x:v>2024-12</x:v>
      </x:c>
      <x:c r="B39" s="16" t="n">
        <x:v>1240</x:v>
      </x:c>
      <x:c r="C39" s="16" t="n">
        <x:v>434686</x:v>
      </x:c>
      <x:c r="D39" s="16" t="n">
        <x:v>1431</x:v>
      </x:c>
      <x:c r="E39" s="18" t="n">
        <x:v>15.87</x:v>
      </x:c>
      <x:c r="F39" s="12" t="n">
        <x:v>0.484</x:v>
      </x:c>
    </x:row>
    <x:row r="40">
      <x:c r="A40" t="str">
        <x:v>2025-01</x:v>
      </x:c>
      <x:c r="B40" s="16" t="n">
        <x:v>1240</x:v>
      </x:c>
      <x:c r="C40" s="16" t="n">
        <x:v>434942</x:v>
      </x:c>
      <x:c r="D40" s="16" t="n">
        <x:v>1513</x:v>
      </x:c>
      <x:c r="E40" s="18" t="n">
        <x:v>14.1</x:v>
      </x:c>
      <x:c r="F40" s="12" t="n">
        <x:v>0.4861</x:v>
      </x:c>
    </x:row>
    <x:row r="41">
      <x:c r="A41" t="str">
        <x:v>2025-02</x:v>
      </x:c>
      <x:c r="B41" s="16" t="n">
        <x:v>1120</x:v>
      </x:c>
      <x:c r="C41" s="16" t="n">
        <x:v>394405</x:v>
      </x:c>
      <x:c r="D41" s="16" t="n">
        <x:v>1518</x:v>
      </x:c>
      <x:c r="E41" s="18" t="n">
        <x:v>15.16</x:v>
      </x:c>
      <x:c r="F41" s="12" t="n">
        <x:v>0.4864</x:v>
      </x:c>
    </x:row>
    <x:row r="42">
      <x:c r="A42" t="str">
        <x:v>2025-03</x:v>
      </x:c>
      <x:c r="B42" s="16" t="n">
        <x:v>1240</x:v>
      </x:c>
      <x:c r="C42" s="16" t="n">
        <x:v>434961</x:v>
      </x:c>
      <x:c r="D42" s="16" t="n">
        <x:v>1404</x:v>
      </x:c>
      <x:c r="E42" s="18" t="n">
        <x:v>18.74</x:v>
      </x:c>
      <x:c r="F42" s="12" t="n">
        <x:v>0.4864</x:v>
      </x:c>
    </x:row>
    <x:row r="43">
      <x:c r="A43" t="str">
        <x:v>2025-04</x:v>
      </x:c>
      <x:c r="B43" s="16" t="n">
        <x:v>1200</x:v>
      </x:c>
      <x:c r="C43" s="16" t="n">
        <x:v>434331</x:v>
      </x:c>
      <x:c r="D43" s="16" t="n">
        <x:v>1585</x:v>
      </x:c>
      <x:c r="E43" s="18" t="n">
        <x:v>24.19</x:v>
      </x:c>
      <x:c r="F43" s="12" t="n">
        <x:v>0.4846</x:v>
      </x:c>
    </x:row>
    <x:row r="44">
      <x:c r="A44" t="str">
        <x:v>2025-05</x:v>
      </x:c>
      <x:c r="B44" s="16" t="n">
        <x:v>1240</x:v>
      </x:c>
      <x:c r="C44" s="16" t="n">
        <x:v>524779</x:v>
      </x:c>
      <x:c r="D44" s="16" t="n">
        <x:v>1646</x:v>
      </x:c>
      <x:c r="E44" s="18" t="n">
        <x:v>29.78</x:v>
      </x:c>
      <x:c r="F44" s="12" t="n">
        <x:v>0.4858</x:v>
      </x:c>
    </x:row>
    <x:row r="45">
      <x:c r="A45" t="str">
        <x:v>2025-06</x:v>
      </x:c>
      <x:c r="B45" s="16" t="n">
        <x:v>1200</x:v>
      </x:c>
      <x:c r="C45" s="16" t="n">
        <x:v>578179</x:v>
      </x:c>
      <x:c r="D45" s="16" t="n">
        <x:v>1627</x:v>
      </x:c>
      <x:c r="E45" s="18" t="n">
        <x:v>33.9</x:v>
      </x:c>
      <x:c r="F45" s="12" t="n">
        <x:v>0.4835</x:v>
      </x:c>
    </x:row>
    <x:row r="46">
      <x:c r="A46" t="str">
        <x:v>2025-07</x:v>
      </x:c>
      <x:c r="B46" s="16" t="n">
        <x:v>1240</x:v>
      </x:c>
      <x:c r="C46" s="16" t="n">
        <x:v>629971</x:v>
      </x:c>
      <x:c r="D46" s="16" t="n">
        <x:v>2059</x:v>
      </x:c>
      <x:c r="E46" s="18" t="n">
        <x:v>35.78</x:v>
      </x:c>
      <x:c r="F46" s="12" t="n">
        <x:v>0.4855</x:v>
      </x:c>
    </x:row>
    <x:row r="47">
      <x:c r="A47" t="str">
        <x:v>2025-08</x:v>
      </x:c>
      <x:c r="B47" s="16" t="n">
        <x:v>1240</x:v>
      </x:c>
      <x:c r="C47" s="16" t="n">
        <x:v>607699</x:v>
      </x:c>
      <x:c r="D47" s="16" t="n">
        <x:v>1872</x:v>
      </x:c>
      <x:c r="E47" s="18" t="n">
        <x:v>34.69</x:v>
      </x:c>
      <x:c r="F47" s="12" t="n">
        <x:v>0.4846</x:v>
      </x:c>
    </x:row>
    <x:row r="48">
      <x:c r="A48" t="str">
        <x:v>2025-09</x:v>
      </x:c>
      <x:c r="B48" s="16" t="n">
        <x:v>1200</x:v>
      </x:c>
      <x:c r="C48" s="16" t="n">
        <x:v>526624</x:v>
      </x:c>
      <x:c r="D48" s="16" t="n">
        <x:v>1657</x:v>
      </x:c>
      <x:c r="E48" s="18" t="n">
        <x:v>30.95</x:v>
      </x:c>
      <x:c r="F48" s="12" t="n">
        <x:v>0.4861</x:v>
      </x:c>
    </x:row>
    <x:row r="49">
      <x:c r="A49" t="str">
        <x:v>2025-10</x:v>
      </x:c>
      <x:c r="B49" s="16" t="n">
        <x:v>1240</x:v>
      </x:c>
      <x:c r="C49" s="16" t="n">
        <x:v>461601</x:v>
      </x:c>
      <x:c r="D49" s="16" t="n">
        <x:v>1579</x:v>
      </x:c>
      <x:c r="E49" s="18" t="n">
        <x:v>25.59</x:v>
      </x:c>
      <x:c r="F49" s="12" t="n">
        <x:v>0.4833</x:v>
      </x:c>
    </x:row>
    <x:row r="50">
      <x:c r="A50" t="str">
        <x:v>2025-11</x:v>
      </x:c>
      <x:c r="B50" s="16" t="n">
        <x:v>1200</x:v>
      </x:c>
      <x:c r="C50" s="16" t="n">
        <x:v>420860</x:v>
      </x:c>
      <x:c r="D50" s="16" t="n">
        <x:v>1417</x:v>
      </x:c>
      <x:c r="E50" s="18" t="n">
        <x:v>20.02</x:v>
      </x:c>
      <x:c r="F50" s="12" t="n">
        <x:v>0.4825</x:v>
      </x:c>
    </x:row>
    <x:row r="51">
      <x:c r="A51" t="str">
        <x:v>2025-12</x:v>
      </x:c>
      <x:c r="B51" s="16" t="n">
        <x:v>1240</x:v>
      </x:c>
      <x:c r="C51" s="16" t="n">
        <x:v>436436</x:v>
      </x:c>
      <x:c r="D51" s="16" t="n">
        <x:v>1448</x:v>
      </x:c>
      <x:c r="E51" s="18" t="n">
        <x:v>15.75</x:v>
      </x:c>
      <x:c r="F51" s="12" t="n">
        <x:v>0.4845</x:v>
      </x:c>
    </x:row>
  </x:sheetData>
  <x:mergeCells>
    <x:mergeCell ref="A1:F1"/>
  </x:mergeCells>
  <x:conditionalFormatting sqref="C4:C51">
    <x:cfRule type="dataBar" priority="1">
      <x:dataBar>
        <x:cfvo type="min"/>
        <x:cfvo type="max"/>
        <x:color rgb="FF168D9C"/>
      </x:dataBar>
      <x:extLst>
        <x:ext xmlns:x14="http://schemas.microsoft.com/office/spreadsheetml/2009/9/main" uri="{B025F937-C7B1-47D3-B67F-A62EFF666E3E}">
          <x14:id>{9524E108-E0E2-242B-8742-FB4362CF98AB}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3f67e5e1102474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524E108-E0E2-242B-8742-FB4362CF98AB}">
            <x14:dataBar gradient="1">
              <x14:cfvo type="min"/>
              <x14:cfvo type="max"/>
              <x14:fillColor rgb="FF168D9C"/>
            </x14:dataBar>
          </x14:cfRule>
          <xm:sqref>C4:C51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6" hidden="0" customWidth="1"/>
    <x:col min="6" max="6" width="26" hidden="0" customWidth="1"/>
  </x:cols>
  <x:sheetData>
    <x:row r="1" ht="34" customHeight="1">
      <x:c r="A1" s="3" t="str">
        <x:v>ESTIMATED ENERGY DEMAND | REGIONS</x:v>
      </x:c>
      <x:c r="B1" s="3"/>
      <x:c r="C1" s="3"/>
      <x:c r="D1" s="3"/>
      <x:c r="E1" s="3"/>
      <x:c r="F1" s="3"/>
    </x:row>
    <x:row r="3" ht="29" customHeight="1">
      <x:c r="A3" s="7" t="str">
        <x:v>Dimension</x:v>
      </x:c>
      <x:c r="B3" s="7" t="str">
        <x:v>Records</x:v>
      </x:c>
      <x:c r="C3" s="7" t="str">
        <x:v>Consumption (MWh)</x:v>
      </x:c>
      <x:c r="D3" s="7" t="str">
        <x:v>Max record peak (MW)</x:v>
      </x:c>
      <x:c r="E3" s="7" t="str">
        <x:v>Avg temp (°C)</x:v>
      </x:c>
      <x:c r="F3" s="7" t="str">
        <x:v>Avg renewable assumption</x:v>
      </x:c>
    </x:row>
    <x:row r="4">
      <x:c r="A4" t="str">
        <x:v>Eastern Province</x:v>
      </x:c>
      <x:c r="B4" s="16" t="n">
        <x:v>17532</x:v>
      </x:c>
      <x:c r="C4" s="16" t="n">
        <x:v>7761574</x:v>
      </x:c>
      <x:c r="D4" s="16" t="n">
        <x:v>1591</x:v>
      </x:c>
      <x:c r="E4" s="18" t="n">
        <x:v>24.95</x:v>
      </x:c>
      <x:c r="F4" s="12" t="n">
        <x:v>0.4842</x:v>
      </x:c>
    </x:row>
    <x:row r="5">
      <x:c r="A5" t="str">
        <x:v>Makkah</x:v>
      </x:c>
      <x:c r="B5" s="16" t="n">
        <x:v>17532</x:v>
      </x:c>
      <x:c r="C5" s="16" t="n">
        <x:v>6535987</x:v>
      </x:c>
      <x:c r="D5" s="16" t="n">
        <x:v>1504</x:v>
      </x:c>
      <x:c r="E5" s="18" t="n">
        <x:v>24.98</x:v>
      </x:c>
      <x:c r="F5" s="12" t="n">
        <x:v>0.485</x:v>
      </x:c>
    </x:row>
    <x:row r="6">
      <x:c r="A6" t="str">
        <x:v>Riyadh</x:v>
      </x:c>
      <x:c r="B6" s="16" t="n">
        <x:v>5844</x:v>
      </x:c>
      <x:c r="C6" s="16" t="n">
        <x:v>3943155</x:v>
      </x:c>
      <x:c r="D6" s="16" t="n">
        <x:v>2059</x:v>
      </x:c>
      <x:c r="E6" s="18" t="n">
        <x:v>24.95</x:v>
      </x:c>
      <x:c r="F6" s="12" t="n">
        <x:v>0.4846</x:v>
      </x:c>
    </x:row>
    <x:row r="7">
      <x:c r="A7" t="str">
        <x:v>Asir</x:v>
      </x:c>
      <x:c r="B7" s="16" t="n">
        <x:v>5844</x:v>
      </x:c>
      <x:c r="C7" s="16" t="n">
        <x:v>1775497</x:v>
      </x:c>
      <x:c r="D7" s="16" t="n">
        <x:v>893</x:v>
      </x:c>
      <x:c r="E7" s="18" t="n">
        <x:v>25.04</x:v>
      </x:c>
      <x:c r="F7" s="12" t="n">
        <x:v>0.4836</x:v>
      </x:c>
    </x:row>
    <x:row r="8">
      <x:c r="A8" t="str">
        <x:v>Madinah</x:v>
      </x:c>
      <x:c r="B8" s="16" t="n">
        <x:v>5844</x:v>
      </x:c>
      <x:c r="C8" s="16" t="n">
        <x:v>1773026</x:v>
      </x:c>
      <x:c r="D8" s="16" t="n">
        <x:v>910</x:v>
      </x:c>
      <x:c r="E8" s="18" t="n">
        <x:v>25.03</x:v>
      </x:c>
      <x:c r="F8" s="12" t="n">
        <x:v>0.4855</x:v>
      </x:c>
    </x:row>
    <x:row r="9">
      <x:c r="A9" t="str">
        <x:v>Tabuk</x:v>
      </x:c>
      <x:c r="B9" s="16" t="n">
        <x:v>5844</x:v>
      </x:c>
      <x:c r="C9" s="16" t="n">
        <x:v>1769351</x:v>
      </x:c>
      <x:c r="D9" s="16" t="n">
        <x:v>869</x:v>
      </x:c>
      <x:c r="E9" s="18" t="n">
        <x:v>25</x:v>
      </x:c>
      <x:c r="F9" s="12" t="n">
        <x:v>0.4849</x:v>
      </x:c>
    </x:row>
  </x:sheetData>
  <x:mergeCells>
    <x:mergeCell ref="A1:F1"/>
  </x:mergeCells>
  <x:conditionalFormatting sqref="C4:C9">
    <x:cfRule type="dataBar" priority="1">
      <x:dataBar>
        <x:cfvo type="min"/>
        <x:cfvo type="max"/>
        <x:color rgb="FF168D9C"/>
      </x:dataBar>
      <x:extLst>
        <x:ext xmlns:x14="http://schemas.microsoft.com/office/spreadsheetml/2009/9/main" uri="{B025F937-C7B1-47D3-B67F-A62EFF666E3E}">
          <x14:id>{EF7ED571-29F8-919A-85AD-0230D458B222}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7c68b58230d4c7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F7ED571-29F8-919A-85AD-0230D458B222}">
            <x14:dataBar gradient="1">
              <x14:cfvo type="min"/>
              <x14:cfvo type="max"/>
              <x14:fillColor rgb="FF168D9C"/>
            </x14:dataBar>
          </x14:cfRule>
          <xm:sqref>C4:C9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38" hidden="0" customWidth="1"/>
  </x:cols>
  <x:sheetData>
    <x:row r="1">
      <x:c r="A1" s="7" t="str">
        <x:v>Metric</x:v>
      </x:c>
      <x:c r="B1" s="7" t="str">
        <x:v>Excel formula</x:v>
      </x:c>
      <x:c r="C1" s="7" t="str">
        <x:v>Description</x:v>
      </x:c>
    </x:row>
    <x:row r="2">
      <x:c r="A2" t="str">
        <x:v>Total annual MWh</x:v>
      </x:c>
      <x:c r="B2" t="n">
        <x:f>SUM(Annual!C4:C7)</x:f>
        <x:v>23558590</x:v>
      </x:c>
      <x:c r="C2" t="str">
        <x:v>Sum of annual consumption</x:v>
      </x:c>
    </x:row>
    <x:row r="3">
      <x:c r="A3" t="str">
        <x:v>2025 vs 2024 growth</x:v>
      </x:c>
      <x:c r="B3" s="12" t="n">
        <x:f>IFERROR(Annual!C7/Annual!C6-1,0)</x:f>
        <x:v>-0.0027978585731717187</x:v>
      </x:c>
      <x:c r="C3" t="str">
        <x:v>Year-on-year change</x:v>
      </x:c>
    </x:row>
    <x:row r="4">
      <x:c r="A4" t="str">
        <x:v>Largest city share</x:v>
      </x:c>
      <x:c r="B4" s="12" t="n">
        <x:f>IFERROR(Cities!C4/B2,0)</x:f>
        <x:v>0.16737652805197595</x:v>
      </x:c>
      <x:c r="C4" t="str">
        <x:v>Largest city / overall MWh</x:v>
      </x:c>
    </x:row>
    <x:row r="5">
      <x:c r="A5" t="str">
        <x:v>Average annual consumption</x:v>
      </x:c>
      <x:c r="B5" t="n">
        <x:f>AVERAGE(Annual!C4:C7)</x:f>
        <x:v>5889647.5</x:v>
      </x:c>
      <x:c r="C5" t="str">
        <x:v>Mean annual MWh</x:v>
      </x:c>
    </x:row>
    <x:row r="6">
      <x:c r="A6" t="str">
        <x:v>Record count</x:v>
      </x:c>
      <x:c r="B6" t="n">
        <x:f>SUM(Annual!B4:B7)</x:f>
        <x:v>58440</x:v>
      </x:c>
      <x:c r="C6" t="str">
        <x:v>Annual row count</x:v>
      </x:c>
    </x:row>
  </x:sheetData>
  <x:pageMargins left="0.7" right="0.7" top="0.75" bottom="0.75" header="0.3" footer="0.3"/>
</x:worksheet>
</file>